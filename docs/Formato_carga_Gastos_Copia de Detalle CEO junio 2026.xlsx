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ceofinanzas/docs/"/>
    </mc:Choice>
  </mc:AlternateContent>
  <xr:revisionPtr revIDLastSave="0" documentId="8_{A28575C9-C76E-AD4B-A3A0-B356C479CB21}" xr6:coauthVersionLast="47" xr6:coauthVersionMax="47" xr10:uidLastSave="{00000000-0000-0000-0000-000000000000}"/>
  <bookViews>
    <workbookView xWindow="0" yWindow="600" windowWidth="36280" windowHeight="15020" xr2:uid="{842AF27C-9FD1-41FC-902C-D7F010B580A0}"/>
  </bookViews>
  <sheets>
    <sheet name="Hoja1" sheetId="1" r:id="rId1"/>
  </sheets>
  <calcPr calcId="19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4" i="1" l="1"/>
</calcChain>
</file>

<file path=xl/sharedStrings.xml><?xml version="1.0" encoding="utf-8"?>
<sst xmlns="http://schemas.openxmlformats.org/spreadsheetml/2006/main" count="406" uniqueCount="169">
  <si>
    <t>Elemento PEP</t>
  </si>
  <si>
    <t>Fecha de documento</t>
  </si>
  <si>
    <t>Período</t>
  </si>
  <si>
    <t>Fe.contabilización</t>
  </si>
  <si>
    <t>Nº docum.refer.</t>
  </si>
  <si>
    <t>Clase de coste</t>
  </si>
  <si>
    <t>Descr. Clase de coste</t>
  </si>
  <si>
    <t>Documento compras</t>
  </si>
  <si>
    <t>Texto de cabecera de documento</t>
  </si>
  <si>
    <t>Texto de pedido</t>
  </si>
  <si>
    <t>CeCo responsable</t>
  </si>
  <si>
    <t>Valor/Moneda objeto</t>
  </si>
  <si>
    <t>Nombre Proveedor</t>
  </si>
  <si>
    <t>Contrato marco</t>
  </si>
  <si>
    <t>Validador</t>
  </si>
  <si>
    <t>Tipo Proyecto</t>
  </si>
  <si>
    <t>Área</t>
  </si>
  <si>
    <t>Columna3</t>
  </si>
  <si>
    <t>Categoría PxQ</t>
  </si>
  <si>
    <t>Detalle actividad</t>
  </si>
  <si>
    <t>Comentarios</t>
  </si>
  <si>
    <t>Detalle actividad x mes</t>
  </si>
  <si>
    <t>GED20024Y002TP0</t>
  </si>
  <si>
    <t>2</t>
  </si>
  <si>
    <t>5003223970</t>
  </si>
  <si>
    <t>RCC1TI0000</t>
  </si>
  <si>
    <t>Temporary work services</t>
  </si>
  <si>
    <t>7200029906</t>
  </si>
  <si>
    <t>Goods receipt</t>
  </si>
  <si>
    <t>Práctica técnica enero 2026</t>
  </si>
  <si>
    <t>CL13D22002</t>
  </si>
  <si>
    <t>DANIELA AYLEEN CORDOVA SILVA</t>
  </si>
  <si>
    <t/>
  </si>
  <si>
    <t>Bolsa</t>
  </si>
  <si>
    <t>CEO-001-Alumno en práctica</t>
  </si>
  <si>
    <t>5003236884</t>
  </si>
  <si>
    <t>7200030209</t>
  </si>
  <si>
    <t>Práctica técnica febrero 2026</t>
  </si>
  <si>
    <t>3</t>
  </si>
  <si>
    <t>5003249721</t>
  </si>
  <si>
    <t>RCC1TFZ000</t>
  </si>
  <si>
    <t>Other personnel-related services</t>
  </si>
  <si>
    <t>6700150816</t>
  </si>
  <si>
    <t>Habilitación CEO</t>
  </si>
  <si>
    <t>FUNDACIÓN CHILE</t>
  </si>
  <si>
    <t>JA10156352</t>
  </si>
  <si>
    <t>Habilitaciones</t>
  </si>
  <si>
    <t>CEO-016-Habilitaciones</t>
  </si>
  <si>
    <t>5003249687</t>
  </si>
  <si>
    <t>6700150813</t>
  </si>
  <si>
    <t>5003259850</t>
  </si>
  <si>
    <t>RCC1T52000</t>
  </si>
  <si>
    <t>Technical services</t>
  </si>
  <si>
    <t>6700151769</t>
  </si>
  <si>
    <t>Servicio Inspección y Apoyo HSEQ</t>
  </si>
  <si>
    <t>CyD Ingeniería Limitada</t>
  </si>
  <si>
    <t>JA10183646</t>
  </si>
  <si>
    <t>Contrato HSEQ</t>
  </si>
  <si>
    <t>CEO-018-Pers. Apoyo CEO</t>
  </si>
  <si>
    <t>4</t>
  </si>
  <si>
    <t>5003294965</t>
  </si>
  <si>
    <t>6700152546</t>
  </si>
  <si>
    <t>5003294968</t>
  </si>
  <si>
    <t>6700152570</t>
  </si>
  <si>
    <t>Corporación Centro de Formación Téc</t>
  </si>
  <si>
    <t>JA10156353</t>
  </si>
  <si>
    <t>5003304374</t>
  </si>
  <si>
    <t>6700153838</t>
  </si>
  <si>
    <t>5003304471</t>
  </si>
  <si>
    <t>6700153839</t>
  </si>
  <si>
    <t>5003304707</t>
  </si>
  <si>
    <t>RCC1TF1000</t>
  </si>
  <si>
    <t>Catering</t>
  </si>
  <si>
    <t>6700153866</t>
  </si>
  <si>
    <t xml:space="preserve"> Servicio de Café Enel Dx</t>
  </si>
  <si>
    <t>COMERCIAL MULTIEXPRESS SPA</t>
  </si>
  <si>
    <t>JA10149193</t>
  </si>
  <si>
    <t>CEO-021-Servicio de alimentación (café, cocktail, almuerzos)</t>
  </si>
  <si>
    <t>5003305096</t>
  </si>
  <si>
    <t>RCA1T30000</t>
  </si>
  <si>
    <t>Stationery and printed materials not for</t>
  </si>
  <si>
    <t>6700153868</t>
  </si>
  <si>
    <t>Suministro de materiales de oficina</t>
  </si>
  <si>
    <t>DIMERC S.A.</t>
  </si>
  <si>
    <t>JA10135848</t>
  </si>
  <si>
    <t>CEO-003-Consumo de Articulos de Aseo y oficina</t>
  </si>
  <si>
    <t>5003305097</t>
  </si>
  <si>
    <t>6700154202</t>
  </si>
  <si>
    <t>Servicio apoyo gastronómico</t>
  </si>
  <si>
    <t>SODEXO CHILE SpA</t>
  </si>
  <si>
    <t>JA10160111</t>
  </si>
  <si>
    <t>CEO-020-Otros Gastos CEO</t>
  </si>
  <si>
    <t>5003305098</t>
  </si>
  <si>
    <t>6700154288</t>
  </si>
  <si>
    <t>5003306739</t>
  </si>
  <si>
    <t>RCC1TZZ000</t>
  </si>
  <si>
    <t>Other costs for sundry services ? T</t>
  </si>
  <si>
    <t>4500011985</t>
  </si>
  <si>
    <t>Servicio RT</t>
  </si>
  <si>
    <t>Transportes Nuevo Centro Oriente SP</t>
  </si>
  <si>
    <t>JA10122226</t>
  </si>
  <si>
    <t>CEO-012-Servicios De Taxi Y Radiotaxi</t>
  </si>
  <si>
    <t>5003313075</t>
  </si>
  <si>
    <t>6700154546</t>
  </si>
  <si>
    <t>5003324826</t>
  </si>
  <si>
    <t>RCC1T5Z000</t>
  </si>
  <si>
    <t>Other professional services</t>
  </si>
  <si>
    <t>7800037749</t>
  </si>
  <si>
    <t>Formación de Inspectores</t>
  </si>
  <si>
    <t>CONSULTORIA INTEGRADA EN CAPACITACI</t>
  </si>
  <si>
    <t>CEO-022-Formaciones</t>
  </si>
  <si>
    <t>5</t>
  </si>
  <si>
    <t>5003334608</t>
  </si>
  <si>
    <t>6700154720</t>
  </si>
  <si>
    <t>5003344867</t>
  </si>
  <si>
    <t>6700156601</t>
  </si>
  <si>
    <t>Galletas comunes. Porcion 5 unidades.</t>
  </si>
  <si>
    <t>5003344868</t>
  </si>
  <si>
    <t>6700156645</t>
  </si>
  <si>
    <t>5003344982</t>
  </si>
  <si>
    <t>6700156647</t>
  </si>
  <si>
    <t>5003352195</t>
  </si>
  <si>
    <t>6700156870</t>
  </si>
  <si>
    <t>Serv. Terreno y Gestión HSEQ</t>
  </si>
  <si>
    <t>DRS GESTION INTEGRAL DE PROYECTOS L</t>
  </si>
  <si>
    <t>JA10161035</t>
  </si>
  <si>
    <t>6</t>
  </si>
  <si>
    <t>5003365758</t>
  </si>
  <si>
    <t>6700157430</t>
  </si>
  <si>
    <t>GED20024Y002TP02460655003223970CL13D22002</t>
  </si>
  <si>
    <t>OPEX</t>
  </si>
  <si>
    <t>CEO</t>
  </si>
  <si>
    <t>OPEX_CEO</t>
  </si>
  <si>
    <t>CEO-001-Alumno en práctica2</t>
  </si>
  <si>
    <t>GED20024Y002TP02460725003236884CL13D22002</t>
  </si>
  <si>
    <t>GED20024Y002TP03460855003249721CL13D22002JA10156352</t>
  </si>
  <si>
    <t>CEO-016-Habilitaciones3</t>
  </si>
  <si>
    <t>GED20024Y002TP03460855003249687CL13D22002JA10156352</t>
  </si>
  <si>
    <t>GED20024Y002TP03460925003259850CL13D22002JA10183646</t>
  </si>
  <si>
    <t>CEO-018-Pers. Apoyo CEO3</t>
  </si>
  <si>
    <t>GED20024Y002TP04461195003294965CL13D22002JA10156352</t>
  </si>
  <si>
    <t>CEO-016-Habilitaciones4</t>
  </si>
  <si>
    <t>GED20024Y002TP04461195003294968CL13D22002JA10156353</t>
  </si>
  <si>
    <t>GED20024Y002TP04461265003304374CL13D22002JA10156353</t>
  </si>
  <si>
    <t>GED20024Y002TP04461265003304471CL13D22002JA10156353</t>
  </si>
  <si>
    <t>GED20024Y002TP04461265003304707CL13D22002JA10149193</t>
  </si>
  <si>
    <t>CEO-021-Servicio de alimentación (café, cocktail, almuerzos)4</t>
  </si>
  <si>
    <t>GED20024Y002TP04461265003305096CL13D22002JA10135848</t>
  </si>
  <si>
    <t>CEO-003-Consumo de Articulos de Aseo y oficina4</t>
  </si>
  <si>
    <t>GED20024Y002TP04461265003305097CL13D22002JA10160111</t>
  </si>
  <si>
    <t>CEO-020-Otros Gastos CEO4</t>
  </si>
  <si>
    <t>GED20024Y002TP04461265003305098CL13D22002JA10156352</t>
  </si>
  <si>
    <t>GED20024Y002TP04461275003306739CL13D22002JA10122226</t>
  </si>
  <si>
    <t>CEO-012-Servicios De Taxi Y Radiotaxi4</t>
  </si>
  <si>
    <t>GED20024Y002TP04461285003313075CL13D22002JA10183646</t>
  </si>
  <si>
    <t>CEO-018-Pers. Apoyo CEO4</t>
  </si>
  <si>
    <t>GED20024Y002TP04461365003324826CL13D22002</t>
  </si>
  <si>
    <t>CEO-022-Formaciones4</t>
  </si>
  <si>
    <t>GED20024Y002TP05461505003334608CL13D22002JA10135848</t>
  </si>
  <si>
    <t>CEO-003-Consumo de Articulos de Aseo y oficina5</t>
  </si>
  <si>
    <t>GED20024Y002TP05461565003344867CL13D22002JA10160111</t>
  </si>
  <si>
    <t>CEO-020-Otros Gastos CEO5</t>
  </si>
  <si>
    <t>GED20024Y002TP05461565003344868CL13D22002JA10156353</t>
  </si>
  <si>
    <t>CEO-016-Habilitaciones5</t>
  </si>
  <si>
    <t>GED20024Y002TP05461565003344982CL13D22002JA10156353</t>
  </si>
  <si>
    <t>GED20024Y002TP05461625003352195CL13D22002JA10161035</t>
  </si>
  <si>
    <t>CEO-018-Pers. Apoyo CEO5</t>
  </si>
  <si>
    <t>GED20024Y002TP06461745003365758CL13D22002JA10183646</t>
  </si>
  <si>
    <t>CEO-018-Pers. Apoyo CEO6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</si>
</sst>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_ ;_ &quot;$&quot;* \-#,##0_ ;_ &quot;$&quot;* &quot;-&quot;_ ;_ @_ "/>
    <numFmt numFmtId="165" formatCode="_ * #,##0_ ;_ * \-#,##0_ ;_ 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C0C0C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D9E1F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 style="thin">
        <color indexed="64"/>
      </left>
      <right style="thin">
        <color indexed="64"/>
      </right>
      <top style="thin">
        <color rgb="FFA5A5A5"/>
      </top>
      <bottom style="thin">
        <color indexed="64"/>
      </bottom>
      <diagonal/>
    </border>
    <border>
      <left style="thin">
        <color indexed="64"/>
      </left>
      <right/>
      <top style="thin">
        <color rgb="FFA5A5A5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1" fontId="3" fillId="2" borderId="1" xfId="2" applyNumberFormat="1" applyFont="1" applyFill="1" applyBorder="1" applyAlignment="1">
      <alignment vertical="center" wrapText="1"/>
    </xf>
    <xf numFmtId="0" fontId="3" fillId="2" borderId="2" xfId="2" applyFont="1" applyFill="1" applyBorder="1" applyAlignment="1">
      <alignment vertical="center" wrapText="1"/>
    </xf>
    <xf numFmtId="165" fontId="3" fillId="2" borderId="1" xfId="1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vertical="top"/>
    </xf>
    <xf numFmtId="14" fontId="6" fillId="0" borderId="5" xfId="2" applyNumberFormat="1" applyFont="1" applyBorder="1" applyAlignment="1">
      <alignment horizontal="right" vertical="top"/>
    </xf>
    <xf numFmtId="0" fontId="6" fillId="0" borderId="5" xfId="2" applyFont="1" applyBorder="1" applyAlignment="1">
      <alignment horizontal="center" vertical="top"/>
    </xf>
    <xf numFmtId="0" fontId="6" fillId="0" borderId="5" xfId="2" applyFont="1" applyBorder="1" applyAlignment="1">
      <alignment vertical="top"/>
    </xf>
    <xf numFmtId="0" fontId="6" fillId="0" borderId="5" xfId="2" applyFont="1" applyBorder="1" applyAlignment="1">
      <alignment horizontal="left" vertical="top"/>
    </xf>
    <xf numFmtId="164" fontId="6" fillId="0" borderId="5" xfId="2" applyNumberFormat="1" applyFont="1" applyBorder="1" applyAlignment="1">
      <alignment horizontal="center" vertical="top"/>
    </xf>
    <xf numFmtId="0" fontId="6" fillId="6" borderId="1" xfId="2" applyFont="1" applyFill="1" applyBorder="1" applyAlignment="1">
      <alignment vertical="top"/>
    </xf>
    <xf numFmtId="0" fontId="6" fillId="0" borderId="6" xfId="2" applyFont="1" applyBorder="1" applyAlignment="1">
      <alignment vertical="top"/>
    </xf>
    <xf numFmtId="0" fontId="6" fillId="0" borderId="1" xfId="2" applyFont="1" applyBorder="1" applyAlignment="1">
      <alignment vertical="top"/>
    </xf>
    <xf numFmtId="0" fontId="6" fillId="0" borderId="7" xfId="2" applyFont="1" applyBorder="1" applyAlignment="1">
      <alignment vertical="top"/>
    </xf>
    <xf numFmtId="0" fontId="6" fillId="7" borderId="7" xfId="2" applyFont="1" applyFill="1" applyBorder="1" applyAlignment="1">
      <alignment vertical="top"/>
    </xf>
    <xf numFmtId="1" fontId="6" fillId="0" borderId="5" xfId="2" applyNumberFormat="1" applyFont="1" applyBorder="1" applyAlignment="1">
      <alignment vertical="top"/>
    </xf>
    <xf numFmtId="0" fontId="6" fillId="7" borderId="5" xfId="2" applyFont="1" applyFill="1" applyBorder="1" applyAlignment="1">
      <alignment vertical="top"/>
    </xf>
    <xf numFmtId="164" fontId="0" fillId="0" borderId="0" xfId="0" applyNumberFormat="1"/>
  </cellXfs>
  <cellStyles count="3">
    <cellStyle name="Millares [0]" xfId="1" builtinId="6"/>
    <cellStyle name="Normal" xfId="0" builtinId="0"/>
    <cellStyle name="Normal 2" xfId="2" xr:uid="{6EB827C2-B762-4A29-B2A7-E0C6C38BB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D933-1771-49CE-A7CB-4A60AA5DC7FD}">
  <dimension ref="A1:V24"/>
  <sheetViews>
    <sheetView tabSelected="1" zoomScale="120" zoomScaleNormal="120" workbookViewId="0">
      <selection activeCell="E13" sqref="E13"/>
    </sheetView>
  </sheetViews>
  <sheetFormatPr baseColWidth="10" defaultRowHeight="15" x14ac:dyDescent="0.2"/>
  <cols>
    <col min="1" max="1" width="14.33203125" customWidth="1"/>
    <col min="12" max="12" width="12.6640625" bestFit="1" customWidth="1"/>
  </cols>
  <sheetData>
    <row r="1" spans="1:22" ht="24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5" t="s">
        <v>11</v>
      </c>
      <c r="M1" s="4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</row>
    <row r="2" spans="1:22" x14ac:dyDescent="0.2">
      <c r="A2" s="11" t="s">
        <v>22</v>
      </c>
      <c r="B2" s="12">
        <v>46065</v>
      </c>
      <c r="C2" s="13" t="s">
        <v>23</v>
      </c>
      <c r="D2" s="12">
        <v>46065</v>
      </c>
      <c r="E2" s="14" t="s">
        <v>24</v>
      </c>
      <c r="F2" s="14" t="s">
        <v>25</v>
      </c>
      <c r="G2" s="15" t="s">
        <v>26</v>
      </c>
      <c r="H2" s="15" t="s">
        <v>27</v>
      </c>
      <c r="I2" s="15" t="s">
        <v>28</v>
      </c>
      <c r="J2" s="15" t="s">
        <v>29</v>
      </c>
      <c r="K2" s="14" t="s">
        <v>30</v>
      </c>
      <c r="L2" s="16">
        <v>216000</v>
      </c>
      <c r="M2" s="15" t="s">
        <v>31</v>
      </c>
      <c r="N2" s="14" t="s">
        <v>32</v>
      </c>
      <c r="O2" s="17" t="s">
        <v>129</v>
      </c>
      <c r="P2" s="18" t="s">
        <v>130</v>
      </c>
      <c r="Q2" s="19" t="s">
        <v>131</v>
      </c>
      <c r="R2" s="20" t="s">
        <v>132</v>
      </c>
      <c r="S2" s="20" t="s">
        <v>33</v>
      </c>
      <c r="T2" s="21" t="s">
        <v>34</v>
      </c>
      <c r="U2" s="21"/>
      <c r="V2" s="21" t="s">
        <v>133</v>
      </c>
    </row>
    <row r="3" spans="1:22" x14ac:dyDescent="0.2">
      <c r="A3" s="11" t="s">
        <v>22</v>
      </c>
      <c r="B3" s="12">
        <v>46072</v>
      </c>
      <c r="C3" s="13" t="s">
        <v>23</v>
      </c>
      <c r="D3" s="12">
        <v>46072</v>
      </c>
      <c r="E3" s="14" t="s">
        <v>35</v>
      </c>
      <c r="F3" s="14" t="s">
        <v>25</v>
      </c>
      <c r="G3" s="15" t="s">
        <v>26</v>
      </c>
      <c r="H3" s="15" t="s">
        <v>36</v>
      </c>
      <c r="I3" s="15" t="s">
        <v>28</v>
      </c>
      <c r="J3" s="15" t="s">
        <v>37</v>
      </c>
      <c r="K3" s="14" t="s">
        <v>30</v>
      </c>
      <c r="L3" s="16">
        <v>154286</v>
      </c>
      <c r="M3" s="15" t="s">
        <v>31</v>
      </c>
      <c r="N3" s="14" t="s">
        <v>32</v>
      </c>
      <c r="O3" s="17" t="s">
        <v>134</v>
      </c>
      <c r="P3" s="18" t="s">
        <v>130</v>
      </c>
      <c r="Q3" s="19" t="s">
        <v>131</v>
      </c>
      <c r="R3" s="20" t="s">
        <v>132</v>
      </c>
      <c r="S3" s="20" t="s">
        <v>33</v>
      </c>
      <c r="T3" s="21" t="s">
        <v>34</v>
      </c>
      <c r="U3" s="21"/>
      <c r="V3" s="21" t="s">
        <v>133</v>
      </c>
    </row>
    <row r="4" spans="1:22" x14ac:dyDescent="0.2">
      <c r="A4" s="11" t="s">
        <v>22</v>
      </c>
      <c r="B4" s="12">
        <v>46085</v>
      </c>
      <c r="C4" s="13" t="s">
        <v>38</v>
      </c>
      <c r="D4" s="12">
        <v>46085</v>
      </c>
      <c r="E4" s="14" t="s">
        <v>39</v>
      </c>
      <c r="F4" s="14" t="s">
        <v>40</v>
      </c>
      <c r="G4" s="15" t="s">
        <v>41</v>
      </c>
      <c r="H4" s="15" t="s">
        <v>42</v>
      </c>
      <c r="I4" s="15" t="s">
        <v>28</v>
      </c>
      <c r="J4" s="15" t="s">
        <v>43</v>
      </c>
      <c r="K4" s="14" t="s">
        <v>30</v>
      </c>
      <c r="L4" s="16">
        <v>2209325</v>
      </c>
      <c r="M4" s="15" t="s">
        <v>44</v>
      </c>
      <c r="N4" s="14" t="s">
        <v>45</v>
      </c>
      <c r="O4" s="17" t="s">
        <v>135</v>
      </c>
      <c r="P4" s="18" t="s">
        <v>130</v>
      </c>
      <c r="Q4" s="19" t="s">
        <v>131</v>
      </c>
      <c r="R4" s="20" t="s">
        <v>132</v>
      </c>
      <c r="S4" s="20" t="s">
        <v>46</v>
      </c>
      <c r="T4" s="21" t="s">
        <v>47</v>
      </c>
      <c r="U4" s="21"/>
      <c r="V4" s="21" t="s">
        <v>136</v>
      </c>
    </row>
    <row r="5" spans="1:22" x14ac:dyDescent="0.2">
      <c r="A5" s="11" t="s">
        <v>22</v>
      </c>
      <c r="B5" s="12">
        <v>46085</v>
      </c>
      <c r="C5" s="13" t="s">
        <v>38</v>
      </c>
      <c r="D5" s="12">
        <v>46085</v>
      </c>
      <c r="E5" s="14" t="s">
        <v>48</v>
      </c>
      <c r="F5" s="14" t="s">
        <v>40</v>
      </c>
      <c r="G5" s="15" t="s">
        <v>41</v>
      </c>
      <c r="H5" s="15" t="s">
        <v>49</v>
      </c>
      <c r="I5" s="15" t="s">
        <v>28</v>
      </c>
      <c r="J5" s="15" t="s">
        <v>43</v>
      </c>
      <c r="K5" s="14" t="s">
        <v>30</v>
      </c>
      <c r="L5" s="16">
        <v>5393937</v>
      </c>
      <c r="M5" s="15" t="s">
        <v>44</v>
      </c>
      <c r="N5" s="14" t="s">
        <v>45</v>
      </c>
      <c r="O5" s="17" t="s">
        <v>137</v>
      </c>
      <c r="P5" s="18" t="s">
        <v>130</v>
      </c>
      <c r="Q5" s="19" t="s">
        <v>131</v>
      </c>
      <c r="R5" s="20" t="s">
        <v>132</v>
      </c>
      <c r="S5" s="20" t="s">
        <v>46</v>
      </c>
      <c r="T5" s="21" t="s">
        <v>47</v>
      </c>
      <c r="U5" s="21"/>
      <c r="V5" s="21" t="s">
        <v>136</v>
      </c>
    </row>
    <row r="6" spans="1:22" x14ac:dyDescent="0.2">
      <c r="A6" s="11" t="s">
        <v>22</v>
      </c>
      <c r="B6" s="12">
        <v>46091</v>
      </c>
      <c r="C6" s="13" t="s">
        <v>38</v>
      </c>
      <c r="D6" s="12">
        <v>46092</v>
      </c>
      <c r="E6" s="14" t="s">
        <v>50</v>
      </c>
      <c r="F6" s="14" t="s">
        <v>51</v>
      </c>
      <c r="G6" s="15" t="s">
        <v>52</v>
      </c>
      <c r="H6" s="15" t="s">
        <v>53</v>
      </c>
      <c r="I6" s="15" t="s">
        <v>28</v>
      </c>
      <c r="J6" s="15" t="s">
        <v>54</v>
      </c>
      <c r="K6" s="14" t="s">
        <v>30</v>
      </c>
      <c r="L6" s="16">
        <v>19929271</v>
      </c>
      <c r="M6" s="15" t="s">
        <v>55</v>
      </c>
      <c r="N6" s="14" t="s">
        <v>56</v>
      </c>
      <c r="O6" s="17" t="s">
        <v>138</v>
      </c>
      <c r="P6" s="18" t="s">
        <v>130</v>
      </c>
      <c r="Q6" s="19" t="s">
        <v>131</v>
      </c>
      <c r="R6" s="20" t="s">
        <v>132</v>
      </c>
      <c r="S6" s="20" t="s">
        <v>57</v>
      </c>
      <c r="T6" s="21" t="s">
        <v>58</v>
      </c>
      <c r="U6" s="21"/>
      <c r="V6" s="21" t="s">
        <v>139</v>
      </c>
    </row>
    <row r="7" spans="1:22" x14ac:dyDescent="0.2">
      <c r="A7" s="11" t="s">
        <v>22</v>
      </c>
      <c r="B7" s="12">
        <v>46119</v>
      </c>
      <c r="C7" s="13" t="s">
        <v>59</v>
      </c>
      <c r="D7" s="12">
        <v>46119</v>
      </c>
      <c r="E7" s="14" t="s">
        <v>60</v>
      </c>
      <c r="F7" s="14" t="s">
        <v>40</v>
      </c>
      <c r="G7" s="15" t="s">
        <v>41</v>
      </c>
      <c r="H7" s="15" t="s">
        <v>61</v>
      </c>
      <c r="I7" s="15" t="s">
        <v>28</v>
      </c>
      <c r="J7" s="15" t="s">
        <v>43</v>
      </c>
      <c r="K7" s="14" t="s">
        <v>30</v>
      </c>
      <c r="L7" s="16">
        <v>2988129</v>
      </c>
      <c r="M7" s="15" t="s">
        <v>44</v>
      </c>
      <c r="N7" s="14" t="s">
        <v>45</v>
      </c>
      <c r="O7" s="17" t="s">
        <v>140</v>
      </c>
      <c r="P7" s="18" t="s">
        <v>130</v>
      </c>
      <c r="Q7" s="19" t="s">
        <v>131</v>
      </c>
      <c r="R7" s="20" t="s">
        <v>132</v>
      </c>
      <c r="S7" s="20" t="s">
        <v>46</v>
      </c>
      <c r="T7" s="21" t="s">
        <v>47</v>
      </c>
      <c r="U7" s="21"/>
      <c r="V7" s="21" t="s">
        <v>141</v>
      </c>
    </row>
    <row r="8" spans="1:22" x14ac:dyDescent="0.2">
      <c r="A8" s="11" t="s">
        <v>22</v>
      </c>
      <c r="B8" s="12">
        <v>46119</v>
      </c>
      <c r="C8" s="13" t="s">
        <v>59</v>
      </c>
      <c r="D8" s="12">
        <v>46119</v>
      </c>
      <c r="E8" s="14" t="s">
        <v>62</v>
      </c>
      <c r="F8" s="14" t="s">
        <v>40</v>
      </c>
      <c r="G8" s="15" t="s">
        <v>41</v>
      </c>
      <c r="H8" s="15" t="s">
        <v>63</v>
      </c>
      <c r="I8" s="15" t="s">
        <v>28</v>
      </c>
      <c r="J8" s="15" t="s">
        <v>43</v>
      </c>
      <c r="K8" s="14" t="s">
        <v>30</v>
      </c>
      <c r="L8" s="16">
        <v>2677762</v>
      </c>
      <c r="M8" s="15" t="s">
        <v>64</v>
      </c>
      <c r="N8" s="14" t="s">
        <v>65</v>
      </c>
      <c r="O8" s="17" t="s">
        <v>142</v>
      </c>
      <c r="P8" s="18" t="s">
        <v>130</v>
      </c>
      <c r="Q8" s="19" t="s">
        <v>131</v>
      </c>
      <c r="R8" s="20" t="s">
        <v>132</v>
      </c>
      <c r="S8" s="20" t="s">
        <v>46</v>
      </c>
      <c r="T8" s="21" t="s">
        <v>47</v>
      </c>
      <c r="U8" s="21"/>
      <c r="V8" s="21" t="s">
        <v>141</v>
      </c>
    </row>
    <row r="9" spans="1:22" x14ac:dyDescent="0.2">
      <c r="A9" s="11" t="s">
        <v>22</v>
      </c>
      <c r="B9" s="12">
        <v>46126</v>
      </c>
      <c r="C9" s="13" t="s">
        <v>59</v>
      </c>
      <c r="D9" s="12">
        <v>46126</v>
      </c>
      <c r="E9" s="22" t="s">
        <v>66</v>
      </c>
      <c r="F9" s="14" t="s">
        <v>40</v>
      </c>
      <c r="G9" s="15" t="s">
        <v>41</v>
      </c>
      <c r="H9" s="15" t="s">
        <v>67</v>
      </c>
      <c r="I9" s="15" t="s">
        <v>28</v>
      </c>
      <c r="J9" s="15" t="s">
        <v>43</v>
      </c>
      <c r="K9" s="14" t="s">
        <v>30</v>
      </c>
      <c r="L9" s="16">
        <v>5348051</v>
      </c>
      <c r="M9" s="15" t="s">
        <v>64</v>
      </c>
      <c r="N9" s="14" t="s">
        <v>65</v>
      </c>
      <c r="O9" s="17" t="s">
        <v>143</v>
      </c>
      <c r="P9" s="18" t="s">
        <v>130</v>
      </c>
      <c r="Q9" s="19" t="s">
        <v>131</v>
      </c>
      <c r="R9" s="20" t="s">
        <v>132</v>
      </c>
      <c r="S9" s="20" t="s">
        <v>46</v>
      </c>
      <c r="T9" s="21" t="s">
        <v>47</v>
      </c>
      <c r="U9" s="23"/>
      <c r="V9" s="23" t="s">
        <v>141</v>
      </c>
    </row>
    <row r="10" spans="1:22" x14ac:dyDescent="0.2">
      <c r="A10" s="11" t="s">
        <v>22</v>
      </c>
      <c r="B10" s="12">
        <v>46126</v>
      </c>
      <c r="C10" s="13" t="s">
        <v>59</v>
      </c>
      <c r="D10" s="12">
        <v>46126</v>
      </c>
      <c r="E10" s="22" t="s">
        <v>68</v>
      </c>
      <c r="F10" s="14" t="s">
        <v>40</v>
      </c>
      <c r="G10" s="15" t="s">
        <v>41</v>
      </c>
      <c r="H10" s="15" t="s">
        <v>69</v>
      </c>
      <c r="I10" s="15" t="s">
        <v>28</v>
      </c>
      <c r="J10" s="15" t="s">
        <v>43</v>
      </c>
      <c r="K10" s="14" t="s">
        <v>30</v>
      </c>
      <c r="L10" s="16">
        <v>6329385</v>
      </c>
      <c r="M10" s="15" t="s">
        <v>64</v>
      </c>
      <c r="N10" s="14" t="s">
        <v>65</v>
      </c>
      <c r="O10" s="17" t="s">
        <v>144</v>
      </c>
      <c r="P10" s="18" t="s">
        <v>130</v>
      </c>
      <c r="Q10" s="19" t="s">
        <v>131</v>
      </c>
      <c r="R10" s="20" t="s">
        <v>132</v>
      </c>
      <c r="S10" s="20" t="s">
        <v>46</v>
      </c>
      <c r="T10" s="21" t="s">
        <v>47</v>
      </c>
      <c r="U10" s="23"/>
      <c r="V10" s="23" t="s">
        <v>141</v>
      </c>
    </row>
    <row r="11" spans="1:22" x14ac:dyDescent="0.2">
      <c r="A11" s="11" t="s">
        <v>22</v>
      </c>
      <c r="B11" s="12">
        <v>46126</v>
      </c>
      <c r="C11" s="13" t="s">
        <v>59</v>
      </c>
      <c r="D11" s="12">
        <v>46126</v>
      </c>
      <c r="E11" s="22" t="s">
        <v>70</v>
      </c>
      <c r="F11" s="14" t="s">
        <v>71</v>
      </c>
      <c r="G11" s="15" t="s">
        <v>72</v>
      </c>
      <c r="H11" s="15" t="s">
        <v>73</v>
      </c>
      <c r="I11" s="15" t="s">
        <v>28</v>
      </c>
      <c r="J11" s="15" t="s">
        <v>74</v>
      </c>
      <c r="K11" s="14" t="s">
        <v>30</v>
      </c>
      <c r="L11" s="16">
        <v>706369</v>
      </c>
      <c r="M11" s="15" t="s">
        <v>75</v>
      </c>
      <c r="N11" s="14" t="s">
        <v>76</v>
      </c>
      <c r="O11" s="17" t="s">
        <v>145</v>
      </c>
      <c r="P11" s="18" t="s">
        <v>130</v>
      </c>
      <c r="Q11" s="19" t="s">
        <v>131</v>
      </c>
      <c r="R11" s="20" t="s">
        <v>132</v>
      </c>
      <c r="S11" s="14"/>
      <c r="T11" s="23" t="s">
        <v>77</v>
      </c>
      <c r="U11" s="23"/>
      <c r="V11" s="23" t="s">
        <v>146</v>
      </c>
    </row>
    <row r="12" spans="1:22" x14ac:dyDescent="0.2">
      <c r="A12" s="11" t="s">
        <v>22</v>
      </c>
      <c r="B12" s="12">
        <v>46126</v>
      </c>
      <c r="C12" s="13" t="s">
        <v>59</v>
      </c>
      <c r="D12" s="12">
        <v>46126</v>
      </c>
      <c r="E12" s="22" t="s">
        <v>78</v>
      </c>
      <c r="F12" s="14" t="s">
        <v>79</v>
      </c>
      <c r="G12" s="15" t="s">
        <v>80</v>
      </c>
      <c r="H12" s="15" t="s">
        <v>81</v>
      </c>
      <c r="I12" s="15" t="s">
        <v>28</v>
      </c>
      <c r="J12" s="15" t="s">
        <v>82</v>
      </c>
      <c r="K12" s="14" t="s">
        <v>30</v>
      </c>
      <c r="L12" s="16">
        <v>847025</v>
      </c>
      <c r="M12" s="15" t="s">
        <v>83</v>
      </c>
      <c r="N12" s="14" t="s">
        <v>84</v>
      </c>
      <c r="O12" s="17" t="s">
        <v>147</v>
      </c>
      <c r="P12" s="18" t="s">
        <v>130</v>
      </c>
      <c r="Q12" s="19" t="s">
        <v>131</v>
      </c>
      <c r="R12" s="20" t="s">
        <v>132</v>
      </c>
      <c r="S12" s="14"/>
      <c r="T12" s="23" t="s">
        <v>85</v>
      </c>
      <c r="U12" s="23"/>
      <c r="V12" s="23" t="s">
        <v>148</v>
      </c>
    </row>
    <row r="13" spans="1:22" x14ac:dyDescent="0.2">
      <c r="A13" s="11" t="s">
        <v>22</v>
      </c>
      <c r="B13" s="12">
        <v>46126</v>
      </c>
      <c r="C13" s="13" t="s">
        <v>59</v>
      </c>
      <c r="D13" s="12">
        <v>46126</v>
      </c>
      <c r="E13" s="22" t="s">
        <v>86</v>
      </c>
      <c r="F13" s="14" t="s">
        <v>71</v>
      </c>
      <c r="G13" s="15" t="s">
        <v>72</v>
      </c>
      <c r="H13" s="15" t="s">
        <v>87</v>
      </c>
      <c r="I13" s="15" t="s">
        <v>28</v>
      </c>
      <c r="J13" s="15" t="s">
        <v>88</v>
      </c>
      <c r="K13" s="14" t="s">
        <v>30</v>
      </c>
      <c r="L13" s="16">
        <v>1553086</v>
      </c>
      <c r="M13" s="15" t="s">
        <v>89</v>
      </c>
      <c r="N13" s="14" t="s">
        <v>90</v>
      </c>
      <c r="O13" s="17" t="s">
        <v>149</v>
      </c>
      <c r="P13" s="18" t="s">
        <v>130</v>
      </c>
      <c r="Q13" s="19" t="s">
        <v>131</v>
      </c>
      <c r="R13" s="20" t="s">
        <v>132</v>
      </c>
      <c r="S13" s="14"/>
      <c r="T13" s="23" t="s">
        <v>91</v>
      </c>
      <c r="U13" s="23"/>
      <c r="V13" s="23" t="s">
        <v>150</v>
      </c>
    </row>
    <row r="14" spans="1:22" x14ac:dyDescent="0.2">
      <c r="A14" s="11" t="s">
        <v>22</v>
      </c>
      <c r="B14" s="12">
        <v>46126</v>
      </c>
      <c r="C14" s="13" t="s">
        <v>59</v>
      </c>
      <c r="D14" s="12">
        <v>46126</v>
      </c>
      <c r="E14" s="22" t="s">
        <v>92</v>
      </c>
      <c r="F14" s="14" t="s">
        <v>40</v>
      </c>
      <c r="G14" s="15" t="s">
        <v>41</v>
      </c>
      <c r="H14" s="15" t="s">
        <v>93</v>
      </c>
      <c r="I14" s="15" t="s">
        <v>28</v>
      </c>
      <c r="J14" s="15" t="s">
        <v>43</v>
      </c>
      <c r="K14" s="14" t="s">
        <v>30</v>
      </c>
      <c r="L14" s="16">
        <v>3591707</v>
      </c>
      <c r="M14" s="15" t="s">
        <v>44</v>
      </c>
      <c r="N14" s="14" t="s">
        <v>45</v>
      </c>
      <c r="O14" s="17" t="s">
        <v>151</v>
      </c>
      <c r="P14" s="18" t="s">
        <v>130</v>
      </c>
      <c r="Q14" s="19" t="s">
        <v>131</v>
      </c>
      <c r="R14" s="20" t="s">
        <v>132</v>
      </c>
      <c r="S14" s="14"/>
      <c r="T14" s="23" t="s">
        <v>47</v>
      </c>
      <c r="U14" s="23"/>
      <c r="V14" s="23" t="s">
        <v>141</v>
      </c>
    </row>
    <row r="15" spans="1:22" x14ac:dyDescent="0.2">
      <c r="A15" s="11" t="s">
        <v>22</v>
      </c>
      <c r="B15" s="12">
        <v>46127</v>
      </c>
      <c r="C15" s="13" t="s">
        <v>59</v>
      </c>
      <c r="D15" s="12">
        <v>46127</v>
      </c>
      <c r="E15" s="22" t="s">
        <v>94</v>
      </c>
      <c r="F15" s="14" t="s">
        <v>95</v>
      </c>
      <c r="G15" s="15" t="s">
        <v>96</v>
      </c>
      <c r="H15" s="15" t="s">
        <v>97</v>
      </c>
      <c r="I15" s="15" t="s">
        <v>28</v>
      </c>
      <c r="J15" s="15" t="s">
        <v>98</v>
      </c>
      <c r="K15" s="14" t="s">
        <v>30</v>
      </c>
      <c r="L15" s="16">
        <v>55590</v>
      </c>
      <c r="M15" s="15" t="s">
        <v>99</v>
      </c>
      <c r="N15" s="14" t="s">
        <v>100</v>
      </c>
      <c r="O15" s="17" t="s">
        <v>152</v>
      </c>
      <c r="P15" s="18" t="s">
        <v>130</v>
      </c>
      <c r="Q15" s="19" t="s">
        <v>131</v>
      </c>
      <c r="R15" s="20" t="s">
        <v>132</v>
      </c>
      <c r="S15" s="14"/>
      <c r="T15" s="23" t="s">
        <v>101</v>
      </c>
      <c r="U15" s="23"/>
      <c r="V15" s="23" t="s">
        <v>153</v>
      </c>
    </row>
    <row r="16" spans="1:22" x14ac:dyDescent="0.2">
      <c r="A16" s="11" t="s">
        <v>22</v>
      </c>
      <c r="B16" s="12">
        <v>46128</v>
      </c>
      <c r="C16" s="13" t="s">
        <v>59</v>
      </c>
      <c r="D16" s="12">
        <v>46128</v>
      </c>
      <c r="E16" s="22" t="s">
        <v>102</v>
      </c>
      <c r="F16" s="14" t="s">
        <v>51</v>
      </c>
      <c r="G16" s="15" t="s">
        <v>52</v>
      </c>
      <c r="H16" s="15" t="s">
        <v>103</v>
      </c>
      <c r="I16" s="15" t="s">
        <v>28</v>
      </c>
      <c r="J16" s="15" t="s">
        <v>54</v>
      </c>
      <c r="K16" s="14" t="s">
        <v>30</v>
      </c>
      <c r="L16" s="16">
        <v>10724381</v>
      </c>
      <c r="M16" s="15" t="s">
        <v>55</v>
      </c>
      <c r="N16" s="14" t="s">
        <v>56</v>
      </c>
      <c r="O16" s="17" t="s">
        <v>154</v>
      </c>
      <c r="P16" s="18" t="s">
        <v>130</v>
      </c>
      <c r="Q16" s="19" t="s">
        <v>131</v>
      </c>
      <c r="R16" s="20" t="s">
        <v>132</v>
      </c>
      <c r="S16" s="14"/>
      <c r="T16" s="23" t="s">
        <v>58</v>
      </c>
      <c r="U16" s="23"/>
      <c r="V16" s="23" t="s">
        <v>155</v>
      </c>
    </row>
    <row r="17" spans="1:22" x14ac:dyDescent="0.2">
      <c r="A17" s="11" t="s">
        <v>22</v>
      </c>
      <c r="B17" s="12">
        <v>46136</v>
      </c>
      <c r="C17" s="13" t="s">
        <v>59</v>
      </c>
      <c r="D17" s="12">
        <v>46136</v>
      </c>
      <c r="E17" s="22" t="s">
        <v>104</v>
      </c>
      <c r="F17" s="14" t="s">
        <v>105</v>
      </c>
      <c r="G17" s="15" t="s">
        <v>106</v>
      </c>
      <c r="H17" s="15" t="s">
        <v>107</v>
      </c>
      <c r="I17" s="15" t="s">
        <v>28</v>
      </c>
      <c r="J17" s="15" t="s">
        <v>108</v>
      </c>
      <c r="K17" s="14" t="s">
        <v>30</v>
      </c>
      <c r="L17" s="16">
        <v>21479720</v>
      </c>
      <c r="M17" s="15" t="s">
        <v>109</v>
      </c>
      <c r="N17" s="14"/>
      <c r="O17" s="17" t="s">
        <v>156</v>
      </c>
      <c r="P17" s="18" t="s">
        <v>130</v>
      </c>
      <c r="Q17" s="19" t="s">
        <v>131</v>
      </c>
      <c r="R17" s="20" t="s">
        <v>132</v>
      </c>
      <c r="S17" s="14"/>
      <c r="T17" s="23" t="s">
        <v>110</v>
      </c>
      <c r="U17" s="23"/>
      <c r="V17" s="23" t="s">
        <v>157</v>
      </c>
    </row>
    <row r="18" spans="1:22" x14ac:dyDescent="0.2">
      <c r="A18" s="11" t="s">
        <v>22</v>
      </c>
      <c r="B18" s="12">
        <v>46150</v>
      </c>
      <c r="C18" s="13" t="s">
        <v>111</v>
      </c>
      <c r="D18" s="12">
        <v>46150</v>
      </c>
      <c r="E18" s="22" t="s">
        <v>112</v>
      </c>
      <c r="F18" s="14" t="s">
        <v>79</v>
      </c>
      <c r="G18" s="15" t="s">
        <v>80</v>
      </c>
      <c r="H18" s="15" t="s">
        <v>113</v>
      </c>
      <c r="I18" s="15" t="s">
        <v>28</v>
      </c>
      <c r="J18" s="15" t="s">
        <v>82</v>
      </c>
      <c r="K18" s="14" t="s">
        <v>30</v>
      </c>
      <c r="L18" s="16">
        <v>998703</v>
      </c>
      <c r="M18" s="15" t="s">
        <v>83</v>
      </c>
      <c r="N18" s="14" t="s">
        <v>84</v>
      </c>
      <c r="O18" s="17" t="s">
        <v>158</v>
      </c>
      <c r="P18" s="18" t="s">
        <v>130</v>
      </c>
      <c r="Q18" s="19" t="s">
        <v>131</v>
      </c>
      <c r="R18" s="20" t="s">
        <v>132</v>
      </c>
      <c r="S18" s="14"/>
      <c r="T18" s="23" t="s">
        <v>85</v>
      </c>
      <c r="U18" s="23"/>
      <c r="V18" s="23" t="s">
        <v>159</v>
      </c>
    </row>
    <row r="19" spans="1:22" x14ac:dyDescent="0.2">
      <c r="A19" s="11" t="s">
        <v>22</v>
      </c>
      <c r="B19" s="12">
        <v>46156</v>
      </c>
      <c r="C19" s="13" t="s">
        <v>111</v>
      </c>
      <c r="D19" s="12">
        <v>46156</v>
      </c>
      <c r="E19" s="22" t="s">
        <v>114</v>
      </c>
      <c r="F19" s="14" t="s">
        <v>71</v>
      </c>
      <c r="G19" s="15" t="s">
        <v>72</v>
      </c>
      <c r="H19" s="15" t="s">
        <v>115</v>
      </c>
      <c r="I19" s="15" t="s">
        <v>28</v>
      </c>
      <c r="J19" s="15" t="s">
        <v>116</v>
      </c>
      <c r="K19" s="14" t="s">
        <v>30</v>
      </c>
      <c r="L19" s="16">
        <v>1399440</v>
      </c>
      <c r="M19" s="15" t="s">
        <v>89</v>
      </c>
      <c r="N19" s="14" t="s">
        <v>90</v>
      </c>
      <c r="O19" s="17" t="s">
        <v>160</v>
      </c>
      <c r="P19" s="18" t="s">
        <v>130</v>
      </c>
      <c r="Q19" s="19" t="s">
        <v>131</v>
      </c>
      <c r="R19" s="20" t="s">
        <v>132</v>
      </c>
      <c r="S19" s="14"/>
      <c r="T19" s="23" t="s">
        <v>91</v>
      </c>
      <c r="U19" s="23"/>
      <c r="V19" s="23" t="s">
        <v>161</v>
      </c>
    </row>
    <row r="20" spans="1:22" x14ac:dyDescent="0.2">
      <c r="A20" s="11" t="s">
        <v>22</v>
      </c>
      <c r="B20" s="12">
        <v>46156</v>
      </c>
      <c r="C20" s="13" t="s">
        <v>111</v>
      </c>
      <c r="D20" s="12">
        <v>46156</v>
      </c>
      <c r="E20" s="22" t="s">
        <v>117</v>
      </c>
      <c r="F20" s="14" t="s">
        <v>40</v>
      </c>
      <c r="G20" s="15" t="s">
        <v>41</v>
      </c>
      <c r="H20" s="15" t="s">
        <v>118</v>
      </c>
      <c r="I20" s="15" t="s">
        <v>28</v>
      </c>
      <c r="J20" s="15" t="s">
        <v>43</v>
      </c>
      <c r="K20" s="14" t="s">
        <v>30</v>
      </c>
      <c r="L20" s="16">
        <v>3578357</v>
      </c>
      <c r="M20" s="15" t="s">
        <v>64</v>
      </c>
      <c r="N20" s="14" t="s">
        <v>65</v>
      </c>
      <c r="O20" s="17" t="s">
        <v>162</v>
      </c>
      <c r="P20" s="18" t="s">
        <v>130</v>
      </c>
      <c r="Q20" s="19" t="s">
        <v>131</v>
      </c>
      <c r="R20" s="20" t="s">
        <v>132</v>
      </c>
      <c r="S20" s="20" t="s">
        <v>46</v>
      </c>
      <c r="T20" s="21" t="s">
        <v>47</v>
      </c>
      <c r="U20" s="23"/>
      <c r="V20" s="23" t="s">
        <v>163</v>
      </c>
    </row>
    <row r="21" spans="1:22" x14ac:dyDescent="0.2">
      <c r="A21" s="11" t="s">
        <v>22</v>
      </c>
      <c r="B21" s="12">
        <v>46156</v>
      </c>
      <c r="C21" s="13" t="s">
        <v>111</v>
      </c>
      <c r="D21" s="12">
        <v>46156</v>
      </c>
      <c r="E21" s="22" t="s">
        <v>119</v>
      </c>
      <c r="F21" s="14" t="s">
        <v>40</v>
      </c>
      <c r="G21" s="15" t="s">
        <v>41</v>
      </c>
      <c r="H21" s="15" t="s">
        <v>120</v>
      </c>
      <c r="I21" s="15" t="s">
        <v>28</v>
      </c>
      <c r="J21" s="15" t="s">
        <v>43</v>
      </c>
      <c r="K21" s="14" t="s">
        <v>30</v>
      </c>
      <c r="L21" s="16">
        <v>5451006</v>
      </c>
      <c r="M21" s="15" t="s">
        <v>64</v>
      </c>
      <c r="N21" s="14" t="s">
        <v>65</v>
      </c>
      <c r="O21" s="17" t="s">
        <v>164</v>
      </c>
      <c r="P21" s="18" t="s">
        <v>130</v>
      </c>
      <c r="Q21" s="19" t="s">
        <v>131</v>
      </c>
      <c r="R21" s="20" t="s">
        <v>132</v>
      </c>
      <c r="S21" s="20" t="s">
        <v>46</v>
      </c>
      <c r="T21" s="21" t="s">
        <v>47</v>
      </c>
      <c r="U21" s="23"/>
      <c r="V21" s="23" t="s">
        <v>163</v>
      </c>
    </row>
    <row r="22" spans="1:22" x14ac:dyDescent="0.2">
      <c r="A22" s="11" t="s">
        <v>22</v>
      </c>
      <c r="B22" s="12">
        <v>46162</v>
      </c>
      <c r="C22" s="13" t="s">
        <v>111</v>
      </c>
      <c r="D22" s="12">
        <v>46162</v>
      </c>
      <c r="E22" s="22" t="s">
        <v>121</v>
      </c>
      <c r="F22" s="14" t="s">
        <v>51</v>
      </c>
      <c r="G22" s="15" t="s">
        <v>52</v>
      </c>
      <c r="H22" s="15" t="s">
        <v>122</v>
      </c>
      <c r="I22" s="15" t="s">
        <v>28</v>
      </c>
      <c r="J22" s="15" t="s">
        <v>123</v>
      </c>
      <c r="K22" s="14" t="s">
        <v>30</v>
      </c>
      <c r="L22" s="16">
        <v>13554903</v>
      </c>
      <c r="M22" s="15" t="s">
        <v>124</v>
      </c>
      <c r="N22" s="14" t="s">
        <v>125</v>
      </c>
      <c r="O22" s="17" t="s">
        <v>165</v>
      </c>
      <c r="P22" s="18" t="s">
        <v>130</v>
      </c>
      <c r="Q22" s="19" t="s">
        <v>131</v>
      </c>
      <c r="R22" s="20" t="s">
        <v>132</v>
      </c>
      <c r="S22" s="14"/>
      <c r="T22" s="23" t="s">
        <v>58</v>
      </c>
      <c r="U22" s="23"/>
      <c r="V22" s="23" t="s">
        <v>166</v>
      </c>
    </row>
    <row r="23" spans="1:22" x14ac:dyDescent="0.2">
      <c r="A23" s="11" t="s">
        <v>22</v>
      </c>
      <c r="B23" s="12">
        <v>46174</v>
      </c>
      <c r="C23" s="13" t="s">
        <v>126</v>
      </c>
      <c r="D23" s="12">
        <v>46174</v>
      </c>
      <c r="E23" s="22" t="s">
        <v>127</v>
      </c>
      <c r="F23" s="14" t="s">
        <v>51</v>
      </c>
      <c r="G23" s="15" t="s">
        <v>52</v>
      </c>
      <c r="H23" s="15" t="s">
        <v>128</v>
      </c>
      <c r="I23" s="15" t="s">
        <v>28</v>
      </c>
      <c r="J23" s="15" t="s">
        <v>54</v>
      </c>
      <c r="K23" s="14" t="s">
        <v>30</v>
      </c>
      <c r="L23" s="16">
        <v>10159686</v>
      </c>
      <c r="M23" s="15" t="s">
        <v>55</v>
      </c>
      <c r="N23" s="14" t="s">
        <v>56</v>
      </c>
      <c r="O23" s="17" t="s">
        <v>167</v>
      </c>
      <c r="P23" s="18" t="s">
        <v>130</v>
      </c>
      <c r="Q23" s="19" t="s">
        <v>131</v>
      </c>
      <c r="R23" s="20" t="s">
        <v>132</v>
      </c>
      <c r="S23" s="14"/>
      <c r="T23" s="23" t="s">
        <v>58</v>
      </c>
      <c r="U23" s="23"/>
      <c r="V23" s="23" t="s">
        <v>168</v>
      </c>
    </row>
    <row r="24" spans="1:22" x14ac:dyDescent="0.2">
      <c r="L24" s="24">
        <f>SUM(L2:L23)</f>
        <v>119346119</v>
      </c>
    </row>
  </sheetData>
  <dataValidations count="1">
    <dataValidation type="list" allowBlank="1" showInputMessage="1" showErrorMessage="1" sqref="T2:T23" xr:uid="{EF2DBA56-A019-4994-BB90-3B7E58952E95}">
      <formula1>INDIRECT(R2)</formula1>
    </dataValidation>
  </dataValidation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Garcés, Yasna Fabiola</dc:creator>
  <cp:lastModifiedBy>Marcelo jofre</cp:lastModifiedBy>
  <dcterms:created xsi:type="dcterms:W3CDTF">2026-06-04T08:45:58Z</dcterms:created>
  <dcterms:modified xsi:type="dcterms:W3CDTF">2026-06-04T15:16:39Z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2026-06-04T08:46:34Z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8028afa3-5f99-4741-a755-e50c4926e36c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